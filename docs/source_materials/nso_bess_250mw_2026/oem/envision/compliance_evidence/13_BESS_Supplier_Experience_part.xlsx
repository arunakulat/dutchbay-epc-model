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Ziyin.you1\Desktop\斯里兰卡25个10MW40MWh项目\Shared by Lakdhanavi\Submission\Documents to be submitted\"/>
    </mc:Choice>
  </mc:AlternateContent>
  <xr:revisionPtr revIDLastSave="0" documentId="13_ncr:1_{52163759-D355-4F2A-A23D-3C3698ED98F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37" i="1"/>
</calcChain>
</file>

<file path=xl/sharedStrings.xml><?xml version="1.0" encoding="utf-8"?>
<sst xmlns="http://schemas.openxmlformats.org/spreadsheetml/2006/main" count="171" uniqueCount="78">
  <si>
    <t>BESS</t>
  </si>
  <si>
    <t>Name &amp; Addresss of the Supplier</t>
  </si>
  <si>
    <t>Last 3 years  experience as a BESS equipment manufacturer ( Need proof as well)</t>
  </si>
  <si>
    <t>Client Name &amp; Address (Including Contact No)</t>
  </si>
  <si>
    <t>Project Name
Project Location</t>
  </si>
  <si>
    <t>Battery Energy Storage System (BESS)</t>
  </si>
  <si>
    <t>No. of Units</t>
  </si>
  <si>
    <t>Model</t>
  </si>
  <si>
    <t>PCS</t>
  </si>
  <si>
    <t>Name &amp; address of the Supplier</t>
  </si>
  <si>
    <t>Last 03 years experience as a PCS equipment manufacturer ( Need proof as well)</t>
  </si>
  <si>
    <t>PCS/Inverters</t>
  </si>
  <si>
    <t>Field怀特伯克有限公司
Field Whitebirk Ltd.</t>
  </si>
  <si>
    <t>英国Masdar Arlington
Masdar Arlington UK</t>
  </si>
  <si>
    <t>Ameresco Ltd.</t>
  </si>
  <si>
    <t>ACWA</t>
  </si>
  <si>
    <t>法国电力集团
EDF</t>
  </si>
  <si>
    <t>首都总督办公室
the Governor's Office of the Capitl City</t>
  </si>
  <si>
    <t>JUNIPER GREEN COSMIC PRIVATE LIMITED</t>
  </si>
  <si>
    <t>JUNIPER GREEN STELLAR PRIVATE LIMITED</t>
  </si>
  <si>
    <t>Scatec ASA</t>
  </si>
  <si>
    <t>EDC</t>
  </si>
  <si>
    <t>OCP</t>
  </si>
  <si>
    <t>沧县青芦新能源有限公司
Cang County Qinglu New Energy Co., Ltd.</t>
  </si>
  <si>
    <t>河北建设集团安装工程有限公司
Hebei Construction Group Installation Engineering Co., Ltd.</t>
  </si>
  <si>
    <t>江苏峰雷纬翼电力工程有限公司
Jiangsu Fenglei Weiyi Power Engineering Co., Ltd.</t>
  </si>
  <si>
    <t>上海电力设计院有限公司
Shanghai Electric Power Design Institute Co., Ltd.</t>
  </si>
  <si>
    <t>广州市哲明惠科技有限责任公司
Guangzhou Zheminghui Technology Co., Ltd.</t>
  </si>
  <si>
    <t>怀特伯克电池储能系统项目
Battery Energy Storage System for Whitebirk</t>
  </si>
  <si>
    <t>英国Masdar Arlington Welkin Road储能项目
UK Masdar Arlington Welkin Road BESS Project</t>
  </si>
  <si>
    <t>英国Masdar Arlington Royle Barn Road储能项目
UK Masdar Arlington Royle Barn Road BESS Project</t>
  </si>
  <si>
    <t>位于塞勒黑德的300兆瓦电池储能系统
300MW Battery Energy Storage System at Cellarhead</t>
  </si>
  <si>
    <t>乌兹别克斯坦ACWA努库斯二期100兆瓦/115兆瓦时项目
Uzbekistan ACWA Nukus II 100MW/115MWh project</t>
  </si>
  <si>
    <t>EDF 南非 Nieuwehoop 103MW/431MWh 项目
 EDF-South Africa Nieuwehoop 103MW/431MWh project</t>
  </si>
  <si>
    <t>EDF 南非 Aggeneis 77MW/322MWh 项目
EDF-South Africa Aggeneis 77MW/322MW project</t>
  </si>
  <si>
    <t>EDF 南非 Mookodi 77MW/322MWh 项目
EDF-South Africa Mookodi 77MW/322MW project</t>
  </si>
  <si>
    <t xml:space="preserve">乌兰巴托市巴嘎努尔区电池储能站
Batter Energy Storage Station in Baganuur District, Ulaanbaatar City </t>
  </si>
  <si>
    <t>拉贾斯坦邦比卡内尔100.64兆瓦时电池储能系统
100.64 MWh BESS System aT Bikaner, Rajasthan</t>
  </si>
  <si>
    <t>拉贾斯坦邦巴默尔320.38兆瓦时电池储能系统
320.38 MWh BESS SYSTEM AT BARMER, RAJASTHAN</t>
  </si>
  <si>
    <t>Scatec 南非 103MW/412MWh 项目
Scatec South-Africa 103MW/412MWh project</t>
  </si>
  <si>
    <t>Scatec 埃及 100MW/248MWh 项目
Scatec Egypt 100MW/248MWh project</t>
  </si>
  <si>
    <t>柬埔寨EDC三期项目 150MW/300MWh储能项目
Cambodia EDC Phase 3 Project 150MW/300MWh Storage Project</t>
  </si>
  <si>
    <t>Morocco Benguerir储能项目
Morocco Benguerir Storage Project</t>
  </si>
  <si>
    <t>沧县长芦风电场项目（沧县四期）配储项目
Cang County Changlu Wind Farm Project (Phase IV, Cang County) – Power Distribution and Storage Project</t>
  </si>
  <si>
    <t>正蓝旗500MW-2000MWh项目
Zhenglan Banner 500 MW–2,000 MWh Project</t>
  </si>
  <si>
    <t>融晟源克拉玛依区15万千瓦/60万千瓦时项目
Rongshengyuan’s 150 MW/600 MWh BESS Project in Karamay District</t>
  </si>
  <si>
    <t>晟达通克拉玛依区25万千瓦/100万千瓦时项目
Shengdatong’s 250 MW/1,000 MWh BESS Project in Karamay District</t>
  </si>
  <si>
    <t>鑫源克拉玛依区10万千瓦/40万千瓦时项目
Xinyuan Karamay District 100 MW/400 MWh BESS Project</t>
  </si>
  <si>
    <t>和顺申腾200MW/400MWh储能项目
Heshun Shenteng 200MW/400MWh Energy Storage Project</t>
  </si>
  <si>
    <t>惠来200MW/400MWh集中共享储能电站示范项目
Huilai 200 MW/400 MWh Centralised Shared Energy Storage Demonstration Project</t>
  </si>
  <si>
    <t>英国
UK</t>
  </si>
  <si>
    <t>乌兹别克斯坦
Uzbekistan</t>
  </si>
  <si>
    <t>南非
South-Africa</t>
  </si>
  <si>
    <t>蒙古
Mongolia</t>
  </si>
  <si>
    <t>印度
India</t>
  </si>
  <si>
    <t>埃及
Egypt</t>
  </si>
  <si>
    <t>柬埔寨
Cambodia</t>
  </si>
  <si>
    <t>摩洛哥
Morocco</t>
  </si>
  <si>
    <t>河北
Hebei</t>
  </si>
  <si>
    <t>内蒙古
Inner Mongolia</t>
  </si>
  <si>
    <t>新疆
Xinjiang</t>
  </si>
  <si>
    <t>山西
Shanxi</t>
  </si>
  <si>
    <t>广东
Guangdong</t>
  </si>
  <si>
    <t xml:space="preserve">ENS-L6500-3300 </t>
  </si>
  <si>
    <t>ENS-L14600-6900</t>
  </si>
  <si>
    <t>ENS-L7450-6900</t>
  </si>
  <si>
    <t xml:space="preserve">ENS-LC20120-5500 </t>
  </si>
  <si>
    <t>ENS-LC9740-2750</t>
  </si>
  <si>
    <t>ENS-LC10060-5500</t>
  </si>
  <si>
    <t>ENS-LC20120-10100</t>
  </si>
  <si>
    <t>ENS-LC20120-5500</t>
  </si>
  <si>
    <t xml:space="preserve">ENS-LC10060-5500 </t>
  </si>
  <si>
    <t>Total Capacity（MWh)</t>
    <phoneticPr fontId="3" type="noConversion"/>
  </si>
  <si>
    <t>Total Capacity(MW)</t>
    <phoneticPr fontId="3" type="noConversion"/>
  </si>
  <si>
    <t xml:space="preserve">ENPCS 3300 </t>
  </si>
  <si>
    <t>ENPCS 3450</t>
  </si>
  <si>
    <t>ENPCS 2750</t>
  </si>
  <si>
    <t>ENPCS 2750
ENPCS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</si>
</sst>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u/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B1" workbookViewId="0">
      <selection activeCell="B87" sqref="A60:XFD87"/>
    </sheetView>
  </sheetViews>
  <sheetFormatPr defaultColWidth="9" defaultRowHeight="14" x14ac:dyDescent="0.25"/>
  <cols>
    <col min="1" max="1" width="39.453125" customWidth="1"/>
    <col min="2" max="2" width="61.36328125" customWidth="1"/>
    <col min="4" max="4" width="21.54296875" customWidth="1"/>
    <col min="5" max="5" width="25.08984375" customWidth="1"/>
    <col min="6" max="6" width="29.54296875" customWidth="1"/>
  </cols>
  <sheetData>
    <row r="1" spans="1:6" x14ac:dyDescent="0.25">
      <c r="A1" s="7" t="s">
        <v>0</v>
      </c>
      <c r="B1" s="7"/>
      <c r="C1" s="7"/>
      <c r="D1" s="7"/>
      <c r="E1" s="7"/>
      <c r="F1" s="7"/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8"/>
      <c r="B4" s="8"/>
      <c r="C4" s="8"/>
      <c r="D4" s="8"/>
      <c r="E4" s="8"/>
      <c r="F4" s="8"/>
    </row>
    <row r="5" spans="1:6" s="1" customFormat="1" x14ac:dyDescent="0.25">
      <c r="A5" s="9" t="s">
        <v>3</v>
      </c>
      <c r="B5" s="9" t="s">
        <v>4</v>
      </c>
      <c r="C5" s="9"/>
      <c r="D5" s="6" t="s">
        <v>5</v>
      </c>
      <c r="E5" s="6"/>
      <c r="F5" s="6"/>
    </row>
    <row r="6" spans="1:6" ht="28" x14ac:dyDescent="0.25">
      <c r="A6" s="9"/>
      <c r="B6" s="9"/>
      <c r="C6" s="9"/>
      <c r="D6" s="3" t="s">
        <v>72</v>
      </c>
      <c r="E6" s="3" t="s">
        <v>6</v>
      </c>
      <c r="F6" s="3" t="s">
        <v>7</v>
      </c>
    </row>
    <row r="7" spans="1:6" ht="28" x14ac:dyDescent="0.25">
      <c r="A7" s="5" t="s">
        <v>12</v>
      </c>
      <c r="B7" s="5" t="s">
        <v>28</v>
      </c>
      <c r="C7" s="5" t="s">
        <v>50</v>
      </c>
      <c r="D7" s="4">
        <v>50</v>
      </c>
      <c r="E7" s="4">
        <v>5</v>
      </c>
      <c r="F7" s="4" t="s">
        <v>63</v>
      </c>
    </row>
    <row r="8" spans="1:6" ht="28" x14ac:dyDescent="0.25">
      <c r="A8" s="5" t="s">
        <v>13</v>
      </c>
      <c r="B8" s="5" t="s">
        <v>29</v>
      </c>
      <c r="C8" s="5" t="s">
        <v>50</v>
      </c>
      <c r="D8" s="4">
        <v>51.1</v>
      </c>
      <c r="E8" s="4">
        <v>3</v>
      </c>
      <c r="F8" s="4" t="s">
        <v>64</v>
      </c>
    </row>
    <row r="9" spans="1:6" ht="28" x14ac:dyDescent="0.25">
      <c r="A9" s="5" t="s">
        <v>13</v>
      </c>
      <c r="B9" s="5" t="s">
        <v>30</v>
      </c>
      <c r="C9" s="5" t="s">
        <v>50</v>
      </c>
      <c r="D9" s="4">
        <v>87.7</v>
      </c>
      <c r="E9" s="4">
        <v>6</v>
      </c>
      <c r="F9" s="4" t="s">
        <v>64</v>
      </c>
    </row>
    <row r="10" spans="1:6" ht="28" x14ac:dyDescent="0.25">
      <c r="A10" s="5" t="s">
        <v>14</v>
      </c>
      <c r="B10" s="5" t="s">
        <v>31</v>
      </c>
      <c r="C10" s="5" t="s">
        <v>50</v>
      </c>
      <c r="D10" s="4">
        <v>624</v>
      </c>
      <c r="E10" s="4">
        <v>30</v>
      </c>
      <c r="F10" s="4" t="s">
        <v>64</v>
      </c>
    </row>
    <row r="11" spans="1:6" ht="56" x14ac:dyDescent="0.25">
      <c r="A11" s="5" t="s">
        <v>15</v>
      </c>
      <c r="B11" s="5" t="s">
        <v>32</v>
      </c>
      <c r="C11" s="5" t="s">
        <v>51</v>
      </c>
      <c r="D11" s="4">
        <v>155.1</v>
      </c>
      <c r="E11" s="4">
        <v>4</v>
      </c>
      <c r="F11" s="4" t="s">
        <v>65</v>
      </c>
    </row>
    <row r="12" spans="1:6" ht="42" x14ac:dyDescent="0.25">
      <c r="A12" s="5" t="s">
        <v>16</v>
      </c>
      <c r="B12" s="5" t="s">
        <v>33</v>
      </c>
      <c r="C12" s="5" t="s">
        <v>52</v>
      </c>
      <c r="D12" s="4">
        <v>503.19</v>
      </c>
      <c r="E12" s="4">
        <v>25</v>
      </c>
      <c r="F12" s="4" t="s">
        <v>66</v>
      </c>
    </row>
    <row r="13" spans="1:6" ht="42" x14ac:dyDescent="0.25">
      <c r="A13" s="5" t="s">
        <v>16</v>
      </c>
      <c r="B13" s="5" t="s">
        <v>34</v>
      </c>
      <c r="C13" s="5" t="s">
        <v>52</v>
      </c>
      <c r="D13" s="4">
        <v>382.44</v>
      </c>
      <c r="E13" s="4">
        <v>19</v>
      </c>
      <c r="F13" s="4" t="s">
        <v>66</v>
      </c>
    </row>
    <row r="14" spans="1:6" ht="42" x14ac:dyDescent="0.25">
      <c r="A14" s="5" t="s">
        <v>16</v>
      </c>
      <c r="B14" s="5" t="s">
        <v>35</v>
      </c>
      <c r="C14" s="5" t="s">
        <v>52</v>
      </c>
      <c r="D14" s="4">
        <v>382.44</v>
      </c>
      <c r="E14" s="4">
        <v>19</v>
      </c>
      <c r="F14" s="4" t="s">
        <v>66</v>
      </c>
    </row>
    <row r="15" spans="1:6" ht="42" x14ac:dyDescent="0.25">
      <c r="A15" s="5" t="s">
        <v>17</v>
      </c>
      <c r="B15" s="5" t="s">
        <v>36</v>
      </c>
      <c r="C15" s="5" t="s">
        <v>53</v>
      </c>
      <c r="D15" s="4">
        <v>200</v>
      </c>
      <c r="E15" s="4">
        <v>27</v>
      </c>
      <c r="F15" s="4" t="s">
        <v>67</v>
      </c>
    </row>
    <row r="16" spans="1:6" ht="28" x14ac:dyDescent="0.25">
      <c r="A16" s="5" t="s">
        <v>18</v>
      </c>
      <c r="B16" s="5" t="s">
        <v>37</v>
      </c>
      <c r="C16" s="5" t="s">
        <v>54</v>
      </c>
      <c r="D16" s="4">
        <v>100.6</v>
      </c>
      <c r="E16" s="4">
        <v>10</v>
      </c>
      <c r="F16" s="4" t="s">
        <v>68</v>
      </c>
    </row>
    <row r="17" spans="1:6" ht="28" x14ac:dyDescent="0.25">
      <c r="A17" s="5" t="s">
        <v>19</v>
      </c>
      <c r="B17" s="5" t="s">
        <v>38</v>
      </c>
      <c r="C17" s="5" t="s">
        <v>54</v>
      </c>
      <c r="D17" s="4">
        <v>400</v>
      </c>
      <c r="E17" s="4">
        <v>38</v>
      </c>
      <c r="F17" s="4" t="s">
        <v>68</v>
      </c>
    </row>
    <row r="18" spans="1:6" ht="42" x14ac:dyDescent="0.25">
      <c r="A18" s="5" t="s">
        <v>20</v>
      </c>
      <c r="B18" s="5" t="s">
        <v>39</v>
      </c>
      <c r="C18" s="5" t="s">
        <v>52</v>
      </c>
      <c r="D18" s="4">
        <v>412</v>
      </c>
      <c r="E18" s="4">
        <v>24</v>
      </c>
      <c r="F18" s="4" t="s">
        <v>66</v>
      </c>
    </row>
    <row r="19" spans="1:6" ht="28" x14ac:dyDescent="0.25">
      <c r="A19" s="5" t="s">
        <v>20</v>
      </c>
      <c r="B19" s="5" t="s">
        <v>40</v>
      </c>
      <c r="C19" s="5" t="s">
        <v>55</v>
      </c>
      <c r="D19" s="4">
        <v>200</v>
      </c>
      <c r="E19" s="4">
        <v>23</v>
      </c>
      <c r="F19" s="4" t="s">
        <v>68</v>
      </c>
    </row>
    <row r="20" spans="1:6" ht="28" x14ac:dyDescent="0.25">
      <c r="A20" s="5" t="s">
        <v>21</v>
      </c>
      <c r="B20" s="5" t="s">
        <v>41</v>
      </c>
      <c r="C20" s="5" t="s">
        <v>56</v>
      </c>
      <c r="D20" s="4">
        <v>325</v>
      </c>
      <c r="E20" s="4">
        <v>16</v>
      </c>
      <c r="F20" s="4" t="s">
        <v>69</v>
      </c>
    </row>
    <row r="21" spans="1:6" ht="28" x14ac:dyDescent="0.25">
      <c r="A21" s="5" t="s">
        <v>22</v>
      </c>
      <c r="B21" s="5" t="s">
        <v>42</v>
      </c>
      <c r="C21" s="5" t="s">
        <v>57</v>
      </c>
      <c r="D21" s="4">
        <v>141</v>
      </c>
      <c r="E21" s="4">
        <v>7</v>
      </c>
      <c r="F21" s="4" t="s">
        <v>70</v>
      </c>
    </row>
    <row r="22" spans="1:6" ht="42" x14ac:dyDescent="0.25">
      <c r="A22" s="5" t="s">
        <v>23</v>
      </c>
      <c r="B22" s="5" t="s">
        <v>43</v>
      </c>
      <c r="C22" s="5" t="s">
        <v>58</v>
      </c>
      <c r="D22" s="4">
        <v>160.96</v>
      </c>
      <c r="E22" s="4">
        <v>8</v>
      </c>
      <c r="F22" s="4" t="s">
        <v>70</v>
      </c>
    </row>
    <row r="23" spans="1:6" ht="42" x14ac:dyDescent="0.25">
      <c r="A23" s="5" t="s">
        <v>24</v>
      </c>
      <c r="B23" s="5" t="s">
        <v>44</v>
      </c>
      <c r="C23" s="5" t="s">
        <v>59</v>
      </c>
      <c r="D23" s="4">
        <v>2000</v>
      </c>
      <c r="E23" s="4">
        <v>86</v>
      </c>
      <c r="F23" s="4" t="s">
        <v>70</v>
      </c>
    </row>
    <row r="24" spans="1:6" ht="42" x14ac:dyDescent="0.25">
      <c r="A24" s="5" t="s">
        <v>25</v>
      </c>
      <c r="B24" s="5" t="s">
        <v>45</v>
      </c>
      <c r="C24" s="5" t="s">
        <v>60</v>
      </c>
      <c r="D24" s="4">
        <v>600</v>
      </c>
      <c r="E24" s="4">
        <v>26</v>
      </c>
      <c r="F24" s="4" t="s">
        <v>70</v>
      </c>
    </row>
    <row r="25" spans="1:6" ht="42" x14ac:dyDescent="0.25">
      <c r="A25" s="5" t="s">
        <v>25</v>
      </c>
      <c r="B25" s="5" t="s">
        <v>46</v>
      </c>
      <c r="C25" s="5" t="s">
        <v>60</v>
      </c>
      <c r="D25" s="4">
        <v>1000</v>
      </c>
      <c r="E25" s="4">
        <v>43</v>
      </c>
      <c r="F25" s="4" t="s">
        <v>70</v>
      </c>
    </row>
    <row r="26" spans="1:6" ht="42" x14ac:dyDescent="0.25">
      <c r="A26" s="5" t="s">
        <v>25</v>
      </c>
      <c r="B26" s="5" t="s">
        <v>47</v>
      </c>
      <c r="C26" s="5" t="s">
        <v>60</v>
      </c>
      <c r="D26" s="4">
        <v>400</v>
      </c>
      <c r="E26" s="4">
        <v>18</v>
      </c>
      <c r="F26" s="4" t="s">
        <v>70</v>
      </c>
    </row>
    <row r="27" spans="1:6" ht="42" x14ac:dyDescent="0.25">
      <c r="A27" s="5" t="s">
        <v>26</v>
      </c>
      <c r="B27" s="5" t="s">
        <v>48</v>
      </c>
      <c r="C27" s="5" t="s">
        <v>61</v>
      </c>
      <c r="D27" s="4">
        <v>400</v>
      </c>
      <c r="E27" s="4">
        <v>38</v>
      </c>
      <c r="F27" s="4" t="s">
        <v>71</v>
      </c>
    </row>
    <row r="28" spans="1:6" ht="42" x14ac:dyDescent="0.25">
      <c r="A28" s="5" t="s">
        <v>27</v>
      </c>
      <c r="B28" s="5" t="s">
        <v>49</v>
      </c>
      <c r="C28" s="5" t="s">
        <v>62</v>
      </c>
      <c r="D28" s="4">
        <v>400</v>
      </c>
      <c r="E28" s="4">
        <v>40</v>
      </c>
      <c r="F28" s="4" t="s">
        <v>71</v>
      </c>
    </row>
    <row r="31" spans="1:6" x14ac:dyDescent="0.25">
      <c r="A31" s="7" t="s">
        <v>8</v>
      </c>
      <c r="B31" s="7"/>
      <c r="C31" s="7"/>
      <c r="D31" s="7"/>
      <c r="E31" s="7"/>
      <c r="F31" s="7"/>
    </row>
    <row r="32" spans="1:6" x14ac:dyDescent="0.25">
      <c r="A32" s="2" t="s">
        <v>9</v>
      </c>
    </row>
    <row r="33" spans="1:6" x14ac:dyDescent="0.25">
      <c r="A33" s="2" t="s">
        <v>10</v>
      </c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9" t="s">
        <v>3</v>
      </c>
      <c r="B35" s="9" t="s">
        <v>4</v>
      </c>
      <c r="C35" s="9"/>
      <c r="D35" s="6" t="s">
        <v>11</v>
      </c>
      <c r="E35" s="6"/>
      <c r="F35" s="6"/>
    </row>
    <row r="36" spans="1:6" x14ac:dyDescent="0.25">
      <c r="A36" s="9"/>
      <c r="B36" s="9"/>
      <c r="C36" s="9"/>
      <c r="D36" s="3" t="s">
        <v>73</v>
      </c>
      <c r="E36" s="3" t="s">
        <v>6</v>
      </c>
      <c r="F36" s="3" t="s">
        <v>7</v>
      </c>
    </row>
    <row r="37" spans="1:6" ht="28" x14ac:dyDescent="0.25">
      <c r="A37" s="4"/>
      <c r="B37" s="5" t="s">
        <v>28</v>
      </c>
      <c r="C37" s="5" t="s">
        <v>50</v>
      </c>
      <c r="D37" s="4">
        <v>25</v>
      </c>
      <c r="E37" s="4">
        <f>E7*2</f>
        <v>10</v>
      </c>
      <c r="F37" s="4" t="s">
        <v>74</v>
      </c>
    </row>
    <row r="38" spans="1:6" ht="28" x14ac:dyDescent="0.25">
      <c r="A38" s="4"/>
      <c r="B38" s="5" t="s">
        <v>29</v>
      </c>
      <c r="C38" s="5" t="s">
        <v>50</v>
      </c>
      <c r="D38" s="4">
        <v>27.6</v>
      </c>
      <c r="E38" s="4">
        <f t="shared" ref="E38:E58" si="0">E8*2</f>
        <v>6</v>
      </c>
      <c r="F38" s="4" t="s">
        <v>75</v>
      </c>
    </row>
    <row r="39" spans="1:6" ht="28" x14ac:dyDescent="0.25">
      <c r="A39" s="4"/>
      <c r="B39" s="5" t="s">
        <v>30</v>
      </c>
      <c r="C39" s="5" t="s">
        <v>50</v>
      </c>
      <c r="D39" s="4">
        <v>41.4</v>
      </c>
      <c r="E39" s="4">
        <f t="shared" si="0"/>
        <v>12</v>
      </c>
      <c r="F39" s="4" t="s">
        <v>75</v>
      </c>
    </row>
    <row r="40" spans="1:6" ht="28" x14ac:dyDescent="0.25">
      <c r="A40" s="4"/>
      <c r="B40" s="5" t="s">
        <v>31</v>
      </c>
      <c r="C40" s="5" t="s">
        <v>50</v>
      </c>
      <c r="D40" s="4">
        <v>300</v>
      </c>
      <c r="E40" s="4">
        <f t="shared" si="0"/>
        <v>60</v>
      </c>
      <c r="F40" s="4" t="s">
        <v>75</v>
      </c>
    </row>
    <row r="41" spans="1:6" ht="56" x14ac:dyDescent="0.25">
      <c r="A41" s="4"/>
      <c r="B41" s="5" t="s">
        <v>32</v>
      </c>
      <c r="C41" s="5" t="s">
        <v>51</v>
      </c>
      <c r="D41" s="4">
        <v>124.2</v>
      </c>
      <c r="E41" s="4">
        <f t="shared" si="0"/>
        <v>8</v>
      </c>
      <c r="F41" s="4" t="s">
        <v>75</v>
      </c>
    </row>
    <row r="42" spans="1:6" ht="42" x14ac:dyDescent="0.25">
      <c r="A42" s="4"/>
      <c r="B42" s="5" t="s">
        <v>33</v>
      </c>
      <c r="C42" s="5" t="s">
        <v>52</v>
      </c>
      <c r="D42" s="4">
        <v>137.5</v>
      </c>
      <c r="E42" s="4">
        <f t="shared" si="0"/>
        <v>50</v>
      </c>
      <c r="F42" s="4" t="s">
        <v>76</v>
      </c>
    </row>
    <row r="43" spans="1:6" ht="42" x14ac:dyDescent="0.25">
      <c r="A43" s="4"/>
      <c r="B43" s="5" t="s">
        <v>34</v>
      </c>
      <c r="C43" s="5" t="s">
        <v>52</v>
      </c>
      <c r="D43" s="4">
        <v>104.5</v>
      </c>
      <c r="E43" s="4">
        <f t="shared" si="0"/>
        <v>38</v>
      </c>
      <c r="F43" s="4" t="s">
        <v>76</v>
      </c>
    </row>
    <row r="44" spans="1:6" ht="42" x14ac:dyDescent="0.25">
      <c r="A44" s="4"/>
      <c r="B44" s="5" t="s">
        <v>35</v>
      </c>
      <c r="C44" s="5" t="s">
        <v>52</v>
      </c>
      <c r="D44" s="4">
        <v>104.5</v>
      </c>
      <c r="E44" s="4">
        <f t="shared" si="0"/>
        <v>38</v>
      </c>
      <c r="F44" s="4" t="s">
        <v>76</v>
      </c>
    </row>
    <row r="45" spans="1:6" ht="42" x14ac:dyDescent="0.25">
      <c r="A45" s="4"/>
      <c r="B45" s="5" t="s">
        <v>36</v>
      </c>
      <c r="C45" s="5" t="s">
        <v>53</v>
      </c>
      <c r="D45" s="4">
        <v>50</v>
      </c>
      <c r="E45" s="4">
        <f t="shared" si="0"/>
        <v>54</v>
      </c>
      <c r="F45" s="4" t="s">
        <v>76</v>
      </c>
    </row>
    <row r="46" spans="1:6" ht="28" x14ac:dyDescent="0.25">
      <c r="A46" s="4"/>
      <c r="B46" s="5" t="s">
        <v>37</v>
      </c>
      <c r="C46" s="5" t="s">
        <v>54</v>
      </c>
      <c r="D46" s="4">
        <v>50</v>
      </c>
      <c r="E46" s="4">
        <f t="shared" si="0"/>
        <v>20</v>
      </c>
      <c r="F46" s="4" t="s">
        <v>76</v>
      </c>
    </row>
    <row r="47" spans="1:6" ht="28" x14ac:dyDescent="0.25">
      <c r="A47" s="4"/>
      <c r="B47" s="5" t="s">
        <v>38</v>
      </c>
      <c r="C47" s="5" t="s">
        <v>54</v>
      </c>
      <c r="D47" s="4">
        <v>200</v>
      </c>
      <c r="E47" s="4">
        <f t="shared" si="0"/>
        <v>76</v>
      </c>
      <c r="F47" s="4" t="s">
        <v>77</v>
      </c>
    </row>
    <row r="48" spans="1:6" ht="42" x14ac:dyDescent="0.25">
      <c r="A48" s="4"/>
      <c r="B48" s="5" t="s">
        <v>39</v>
      </c>
      <c r="C48" s="5" t="s">
        <v>52</v>
      </c>
      <c r="D48" s="4">
        <v>103</v>
      </c>
      <c r="E48" s="4">
        <f t="shared" si="0"/>
        <v>48</v>
      </c>
      <c r="F48" s="4" t="s">
        <v>76</v>
      </c>
    </row>
    <row r="49" spans="1:6" ht="28" x14ac:dyDescent="0.25">
      <c r="A49" s="4"/>
      <c r="B49" s="5" t="s">
        <v>40</v>
      </c>
      <c r="C49" s="5" t="s">
        <v>55</v>
      </c>
      <c r="D49" s="4">
        <v>100</v>
      </c>
      <c r="E49" s="4">
        <f t="shared" si="0"/>
        <v>46</v>
      </c>
      <c r="F49" s="4" t="s">
        <v>76</v>
      </c>
    </row>
    <row r="50" spans="1:6" ht="28" x14ac:dyDescent="0.25">
      <c r="A50" s="4"/>
      <c r="B50" s="5" t="s">
        <v>41</v>
      </c>
      <c r="C50" s="5" t="s">
        <v>56</v>
      </c>
      <c r="D50" s="4">
        <v>150</v>
      </c>
      <c r="E50" s="4">
        <f t="shared" si="0"/>
        <v>32</v>
      </c>
      <c r="F50" s="4" t="s">
        <v>76</v>
      </c>
    </row>
    <row r="51" spans="1:6" ht="28" x14ac:dyDescent="0.25">
      <c r="A51" s="4"/>
      <c r="B51" s="5" t="s">
        <v>42</v>
      </c>
      <c r="C51" s="5" t="s">
        <v>57</v>
      </c>
      <c r="D51" s="4">
        <v>35</v>
      </c>
      <c r="E51" s="4">
        <f t="shared" si="0"/>
        <v>14</v>
      </c>
      <c r="F51" s="4" t="s">
        <v>76</v>
      </c>
    </row>
    <row r="52" spans="1:6" ht="42" x14ac:dyDescent="0.25">
      <c r="A52" s="4"/>
      <c r="B52" s="5" t="s">
        <v>43</v>
      </c>
      <c r="C52" s="5" t="s">
        <v>58</v>
      </c>
      <c r="D52" s="4">
        <v>44</v>
      </c>
      <c r="E52" s="4">
        <f t="shared" si="0"/>
        <v>16</v>
      </c>
      <c r="F52" s="4"/>
    </row>
    <row r="53" spans="1:6" ht="42" x14ac:dyDescent="0.25">
      <c r="A53" s="4"/>
      <c r="B53" s="5" t="s">
        <v>44</v>
      </c>
      <c r="C53" s="5" t="s">
        <v>59</v>
      </c>
      <c r="D53" s="4">
        <v>500</v>
      </c>
      <c r="E53" s="4">
        <f t="shared" si="0"/>
        <v>172</v>
      </c>
      <c r="F53" s="4" t="s">
        <v>76</v>
      </c>
    </row>
    <row r="54" spans="1:6" ht="42" x14ac:dyDescent="0.25">
      <c r="A54" s="4"/>
      <c r="B54" s="5" t="s">
        <v>45</v>
      </c>
      <c r="C54" s="5" t="s">
        <v>60</v>
      </c>
      <c r="D54" s="4">
        <v>150</v>
      </c>
      <c r="E54" s="4">
        <f t="shared" si="0"/>
        <v>52</v>
      </c>
      <c r="F54" s="4" t="s">
        <v>76</v>
      </c>
    </row>
    <row r="55" spans="1:6" ht="42" x14ac:dyDescent="0.25">
      <c r="A55" s="4"/>
      <c r="B55" s="5" t="s">
        <v>46</v>
      </c>
      <c r="C55" s="5" t="s">
        <v>60</v>
      </c>
      <c r="D55" s="4">
        <v>250</v>
      </c>
      <c r="E55" s="4">
        <f t="shared" si="0"/>
        <v>86</v>
      </c>
      <c r="F55" s="4" t="s">
        <v>76</v>
      </c>
    </row>
    <row r="56" spans="1:6" ht="28" x14ac:dyDescent="0.25">
      <c r="A56" s="4"/>
      <c r="B56" s="5" t="s">
        <v>47</v>
      </c>
      <c r="C56" s="5" t="s">
        <v>60</v>
      </c>
      <c r="D56" s="4">
        <v>100</v>
      </c>
      <c r="E56" s="4">
        <f t="shared" si="0"/>
        <v>36</v>
      </c>
      <c r="F56" s="4" t="s">
        <v>76</v>
      </c>
    </row>
    <row r="57" spans="1:6" ht="28" x14ac:dyDescent="0.25">
      <c r="A57" s="4"/>
      <c r="B57" s="5" t="s">
        <v>48</v>
      </c>
      <c r="C57" s="5" t="s">
        <v>61</v>
      </c>
      <c r="D57" s="4">
        <v>200</v>
      </c>
      <c r="E57" s="4">
        <f t="shared" si="0"/>
        <v>76</v>
      </c>
      <c r="F57" s="4" t="s">
        <v>76</v>
      </c>
    </row>
    <row r="58" spans="1:6" ht="42" x14ac:dyDescent="0.25">
      <c r="A58" s="4"/>
      <c r="B58" s="5" t="s">
        <v>49</v>
      </c>
      <c r="C58" s="5" t="s">
        <v>62</v>
      </c>
      <c r="D58" s="4">
        <v>200</v>
      </c>
      <c r="E58" s="4">
        <f t="shared" si="0"/>
        <v>80</v>
      </c>
      <c r="F58" s="4" t="s">
        <v>76</v>
      </c>
    </row>
  </sheetData>
  <mergeCells count="10">
    <mergeCell ref="A1:F1"/>
    <mergeCell ref="A4:F4"/>
    <mergeCell ref="D5:F5"/>
    <mergeCell ref="A31:F31"/>
    <mergeCell ref="A34:F34"/>
    <mergeCell ref="D35:F35"/>
    <mergeCell ref="A5:A6"/>
    <mergeCell ref="A35:A36"/>
    <mergeCell ref="B5:C6"/>
    <mergeCell ref="B35:C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Ziyin You</cp:lastModifiedBy>
  <dcterms:created xsi:type="dcterms:W3CDTF">2025-09-01T06:32:00Z</dcterms:created>
  <dcterms:modified xsi:type="dcterms:W3CDTF">2026-08-26T07:04:42Z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EA3953A7DCE942EFA25DC5891DC3C2ED_12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